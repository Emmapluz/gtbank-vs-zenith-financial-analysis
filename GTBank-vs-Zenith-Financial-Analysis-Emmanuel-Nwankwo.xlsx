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maPluz\Desktop\Data Projects\"/>
    </mc:Choice>
  </mc:AlternateContent>
  <xr:revisionPtr revIDLastSave="0" documentId="13_ncr:1_{01114088-0E91-4331-8885-4B1F79EFF3DE}" xr6:coauthVersionLast="47" xr6:coauthVersionMax="47" xr10:uidLastSave="{00000000-0000-0000-0000-000000000000}"/>
  <bookViews>
    <workbookView xWindow="-108" yWindow="-108" windowWidth="23256" windowHeight="12456" activeTab="1" xr2:uid="{1CD74F11-3FB5-453B-8C2A-D993089BA697}"/>
  </bookViews>
  <sheets>
    <sheet name="Data_Entry" sheetId="1" r:id="rId1"/>
    <sheet name="Dashboar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2" l="1"/>
  <c r="D14" i="2"/>
  <c r="D15" i="2"/>
  <c r="D16" i="2"/>
  <c r="D13" i="2"/>
  <c r="D12" i="2"/>
  <c r="D11" i="2"/>
  <c r="D10" i="2"/>
  <c r="D9" i="2"/>
  <c r="D8" i="2"/>
  <c r="D7" i="2"/>
  <c r="C17" i="2"/>
  <c r="C16" i="2"/>
  <c r="E16" i="2" s="1"/>
  <c r="C15" i="2"/>
  <c r="C14" i="2"/>
  <c r="E14" i="2" s="1"/>
  <c r="C13" i="2"/>
  <c r="E13" i="2" s="1"/>
  <c r="C12" i="2"/>
  <c r="E12" i="2" s="1"/>
  <c r="C11" i="2"/>
  <c r="C10" i="2"/>
  <c r="C8" i="2"/>
  <c r="E8" i="2" s="1"/>
  <c r="C9" i="2"/>
  <c r="C7" i="2"/>
  <c r="E7" i="2" s="1"/>
  <c r="E15" i="2"/>
  <c r="J23" i="1"/>
  <c r="K23" i="1"/>
  <c r="L23" i="1"/>
  <c r="M23" i="1"/>
  <c r="J24" i="1"/>
  <c r="K24" i="1"/>
  <c r="L24" i="1"/>
  <c r="M24" i="1"/>
  <c r="I24" i="1"/>
  <c r="I23" i="1"/>
  <c r="D23" i="1"/>
  <c r="E23" i="1"/>
  <c r="F23" i="1"/>
  <c r="G23" i="1"/>
  <c r="D24" i="1"/>
  <c r="E24" i="1"/>
  <c r="F24" i="1"/>
  <c r="G24" i="1"/>
  <c r="C24" i="1"/>
  <c r="C23" i="1"/>
  <c r="K17" i="1"/>
  <c r="L17" i="1"/>
  <c r="M17" i="1"/>
  <c r="J17" i="1"/>
  <c r="J15" i="1"/>
  <c r="K15" i="1"/>
  <c r="L15" i="1"/>
  <c r="M15" i="1"/>
  <c r="J16" i="1"/>
  <c r="K16" i="1"/>
  <c r="L16" i="1"/>
  <c r="M16" i="1"/>
  <c r="I16" i="1"/>
  <c r="I15" i="1"/>
  <c r="E17" i="1"/>
  <c r="F17" i="1"/>
  <c r="G17" i="1"/>
  <c r="D17" i="1"/>
  <c r="D16" i="1"/>
  <c r="E16" i="1"/>
  <c r="F16" i="1"/>
  <c r="G16" i="1"/>
  <c r="C16" i="1"/>
  <c r="D15" i="1"/>
  <c r="E15" i="1"/>
  <c r="F15" i="1"/>
  <c r="G15" i="1"/>
  <c r="C15" i="1"/>
  <c r="E9" i="2" l="1"/>
  <c r="E17" i="2"/>
  <c r="E11" i="2"/>
  <c r="E10" i="2"/>
  <c r="C18" i="2"/>
  <c r="D18" i="2"/>
  <c r="E18" i="2" l="1"/>
</calcChain>
</file>

<file path=xl/sharedStrings.xml><?xml version="1.0" encoding="utf-8"?>
<sst xmlns="http://schemas.openxmlformats.org/spreadsheetml/2006/main" count="80" uniqueCount="73">
  <si>
    <t>RAW DATA — Extracted Figures from Audited Annual Reports (Group Level)</t>
  </si>
  <si>
    <t>GUARANTY TRUST HOLDING COMPANY (GTCO)</t>
  </si>
  <si>
    <t>ZENITH BANK PLC</t>
  </si>
  <si>
    <t>METRIC</t>
  </si>
  <si>
    <t>WHERE TO FIND IT</t>
  </si>
  <si>
    <t xml:space="preserve">  INCOME STATEMENT  (₦ Billions)</t>
  </si>
  <si>
    <t>Gross Earnings / Total Revenue</t>
  </si>
  <si>
    <t>Net Interest Income</t>
  </si>
  <si>
    <t>Non-Interest Income (Fees &amp; Commissions)</t>
  </si>
  <si>
    <t>Operating Expenses (OPEX)</t>
  </si>
  <si>
    <t>Profit Before Tax (PBT)</t>
  </si>
  <si>
    <t>Profit After Tax (PAT)</t>
  </si>
  <si>
    <t>Earnings Per Share — EPS (₦)</t>
  </si>
  <si>
    <t>Dividend Per Share — DPS (₦)</t>
  </si>
  <si>
    <t xml:space="preserve">   → PBT Margin %</t>
  </si>
  <si>
    <t>—</t>
  </si>
  <si>
    <t xml:space="preserve">   → PAT Margin %</t>
  </si>
  <si>
    <t xml:space="preserve">   → YoY PAT Growth %</t>
  </si>
  <si>
    <t xml:space="preserve">  BALANCE SHEET  (₦ Billions)</t>
  </si>
  <si>
    <t>Total Assets</t>
  </si>
  <si>
    <t>Customer Deposits / Total Deposits</t>
  </si>
  <si>
    <t>Loans &amp; Advances to Customers (Net)</t>
  </si>
  <si>
    <t>Shareholders' Equity / Total Equity</t>
  </si>
  <si>
    <t xml:space="preserve">   → Loan-to-Deposit Ratio %</t>
  </si>
  <si>
    <t xml:space="preserve">   → Equity-to-Asset Ratio %</t>
  </si>
  <si>
    <t xml:space="preserve">  KEY RATIOS </t>
  </si>
  <si>
    <t>Return on Equity — ROE %</t>
  </si>
  <si>
    <t>Return on Assets — ROA %</t>
  </si>
  <si>
    <t>Capital Adequacy Ratio — CAR %</t>
  </si>
  <si>
    <t>Cost-to-Income Ratio %</t>
  </si>
  <si>
    <t>Net Loan Loss Ratio %</t>
  </si>
  <si>
    <t>Highlights / Directors’ Report – Operating Results</t>
  </si>
  <si>
    <t>Highlights / Income Statement</t>
  </si>
  <si>
    <t>Notes to FS – Fee &amp; Commission Income</t>
  </si>
  <si>
    <t>Highlights / Directors’ Report</t>
  </si>
  <si>
    <t>Highlights / Notes – Earnings per Share</t>
  </si>
  <si>
    <t>Directors’ Report / Notice of AGM</t>
  </si>
  <si>
    <t>Calculated (PBT ÷ Gross Earnings)</t>
  </si>
  <si>
    <t>Calculated (PAT ÷ Gross Earnings)</t>
  </si>
  <si>
    <t>Calculated</t>
  </si>
  <si>
    <t>Statement of Financial Position</t>
  </si>
  <si>
    <t>Statement of Financial Position / Highlights</t>
  </si>
  <si>
    <t>Calculated (Net Loans ÷ Deposits)</t>
  </si>
  <si>
    <t>Calculated (Equity ÷ Total Assets)</t>
  </si>
  <si>
    <t>Key Ratios / Highlights (ROAE)</t>
  </si>
  <si>
    <t>Key Ratios / Highlights (ROAA)</t>
  </si>
  <si>
    <t>Key Ratios / Notes – Capital Adequacy</t>
  </si>
  <si>
    <t>Key Ratios / Highlights</t>
  </si>
  <si>
    <t>Key Ratios / Highlights (NPL or Net Loan Loss)</t>
  </si>
  <si>
    <t>5-Year Comparison (2021–2025)  |  Built by Emmanuel Nwankwo</t>
  </si>
  <si>
    <t>GTBank vs Zenith Bank — Financial Dashboard</t>
  </si>
  <si>
    <t>GTCO</t>
  </si>
  <si>
    <t>ZENITH</t>
  </si>
  <si>
    <t>WINNER</t>
  </si>
  <si>
    <t>Gross Earnings (₦bn)</t>
  </si>
  <si>
    <t>Profit Before Tax (₦bn)</t>
  </si>
  <si>
    <t>Profit After Tax (₦bn)</t>
  </si>
  <si>
    <t>Total Assets (₦bn)</t>
  </si>
  <si>
    <t>Customer Deposits (₦bn)</t>
  </si>
  <si>
    <t>ROE (%)</t>
  </si>
  <si>
    <t>ROA (%)</t>
  </si>
  <si>
    <t>Capital Adequacy (CAR %)</t>
  </si>
  <si>
    <t>Cost-to-Income (%)</t>
  </si>
  <si>
    <t>EPS (₦)</t>
  </si>
  <si>
    <t xml:space="preserve">  2025 SNAPSHOT </t>
  </si>
  <si>
    <t xml:space="preserve">  KEY INSIGHTS </t>
  </si>
  <si>
    <t>•  GTCO maintains superior profitability (higher ROE and better Cost-to-Income)</t>
  </si>
  <si>
    <t>•  Zenith leads significantly in scale (Gross Earnings and Total Assets)</t>
  </si>
  <si>
    <t>•  Both banks strengthened capital positions, with GTCO showing the strongest CAR</t>
  </si>
  <si>
    <t>•  Asset quality improved for both, with GTCO posting lower Net Loan Loss Ratio in 2025</t>
  </si>
  <si>
    <t>•  Zenith delivered stronger absolute profit growth over the 5-year period</t>
  </si>
  <si>
    <t>METRICS WON (out of 11):</t>
  </si>
  <si>
    <t>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</si>
</sst>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9"/>
      <color rgb="FF1A237E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1F618D"/>
      <name val="Arial"/>
      <family val="2"/>
    </font>
    <font>
      <i/>
      <sz val="9"/>
      <color rgb="FF000000"/>
      <name val="Arial"/>
      <family val="2"/>
    </font>
    <font>
      <b/>
      <sz val="9"/>
      <color rgb="FF1F618D"/>
      <name val="Arial"/>
      <family val="2"/>
    </font>
    <font>
      <b/>
      <sz val="9"/>
      <color rgb="FF000000"/>
      <name val="Arial"/>
      <family val="2"/>
    </font>
    <font>
      <b/>
      <sz val="9"/>
      <color rgb="FFE67E22"/>
      <name val="Arial"/>
      <family val="2"/>
    </font>
    <font>
      <b/>
      <sz val="9"/>
      <color rgb="FFC0392B"/>
      <name val="Arial"/>
      <family val="2"/>
    </font>
    <font>
      <b/>
      <sz val="11"/>
      <color rgb="FF000000"/>
      <name val="Arial"/>
      <family val="2"/>
    </font>
    <font>
      <b/>
      <sz val="11"/>
      <color rgb="FFE67E22"/>
      <name val="Arial"/>
      <family val="2"/>
    </font>
    <font>
      <b/>
      <sz val="11"/>
      <color rgb="FFC0392B"/>
      <name val="Arial"/>
      <family val="2"/>
    </font>
    <font>
      <b/>
      <sz val="9"/>
      <name val="Arial"/>
      <family val="2"/>
    </font>
    <font>
      <b/>
      <sz val="20"/>
      <color rgb="FF1F618D"/>
      <name val="Arial"/>
      <family val="2"/>
    </font>
    <font>
      <b/>
      <sz val="26"/>
      <color theme="1" tint="0.249977111117893"/>
      <name val="Arial"/>
      <family val="2"/>
    </font>
    <font>
      <i/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9C4"/>
        <bgColor rgb="FFFEF9E7"/>
      </patternFill>
    </fill>
    <fill>
      <patternFill patternType="solid">
        <fgColor rgb="FFFEF9E7"/>
        <bgColor rgb="FFF9F9F9"/>
      </patternFill>
    </fill>
    <fill>
      <patternFill patternType="solid">
        <fgColor rgb="FFFDEDEC"/>
        <bgColor rgb="FFF2F3F4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BE4B48"/>
      </patternFill>
    </fill>
    <fill>
      <patternFill patternType="solid">
        <fgColor rgb="FF1F618D"/>
        <bgColor rgb="FF1A5276"/>
      </patternFill>
    </fill>
    <fill>
      <patternFill patternType="solid">
        <fgColor rgb="FF1F618D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8" fillId="8" borderId="0" xfId="0" applyFont="1" applyFill="1" applyAlignment="1">
      <alignment vertical="center"/>
    </xf>
    <xf numFmtId="0" fontId="1" fillId="9" borderId="0" xfId="0" applyFont="1" applyFill="1"/>
    <xf numFmtId="0" fontId="4" fillId="2" borderId="1" xfId="0" applyFont="1" applyFill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9" borderId="1" xfId="0" applyFont="1" applyFill="1" applyBorder="1" applyAlignment="1">
      <alignment wrapText="1"/>
    </xf>
    <xf numFmtId="2" fontId="6" fillId="4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0" fillId="10" borderId="0" xfId="0" applyFill="1"/>
    <xf numFmtId="0" fontId="1" fillId="10" borderId="0" xfId="0" applyFont="1" applyFill="1"/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2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9">
    <dxf>
      <font>
        <b/>
        <i val="0"/>
        <color rgb="FFC0392B"/>
      </font>
    </dxf>
    <dxf>
      <font>
        <b/>
        <i val="0"/>
        <color rgb="FFE67E2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392B"/>
        <name val="Arial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E67E22"/>
        <name val="Arial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rgb="FFCCCCCC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1F618D"/>
      <color rgb="FFE67E22"/>
      <color rgb="FFC0392B"/>
      <color rgb="FFCCCCCC"/>
      <color rgb="FF1A23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00" b="1"/>
              <a:t>Gross Earnings Trend (₦bn)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GTCO</c:v>
          </c:tx>
          <c:spPr>
            <a:ln w="28575" cap="rnd">
              <a:solidFill>
                <a:srgbClr val="E67E2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8541776027996498E-2"/>
                  <c:y val="6.2951662292213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41-42D4-8F01-DFE1ACEDEA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Data_Entry!$C$5:$G$5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Data_Entry!$C$7:$G$7</c:f>
              <c:numCache>
                <c:formatCode>#,##0.00</c:formatCode>
                <c:ptCount val="5"/>
                <c:pt idx="0">
                  <c:v>447.81</c:v>
                </c:pt>
                <c:pt idx="1">
                  <c:v>539.24</c:v>
                </c:pt>
                <c:pt idx="2">
                  <c:v>1186.47</c:v>
                </c:pt>
                <c:pt idx="3">
                  <c:v>2148.34</c:v>
                </c:pt>
                <c:pt idx="4">
                  <c:v>2150.37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1-42D4-8F01-DFE1ACEDEA09}"/>
            </c:ext>
          </c:extLst>
        </c:ser>
        <c:ser>
          <c:idx val="2"/>
          <c:order val="1"/>
          <c:tx>
            <c:v>Zenith</c:v>
          </c:tx>
          <c:spPr>
            <a:ln w="28575" cap="rnd">
              <a:solidFill>
                <a:srgbClr val="C0392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392B"/>
              </a:solidFill>
              <a:ln w="9525">
                <a:solidFill>
                  <a:srgbClr val="C0392B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9.7430664916885443E-2"/>
                  <c:y val="-4.9062408865558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1-42D4-8F01-DFE1ACEDEA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Data_Entry!$C$5:$G$5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Data_Entry!$I$7:$M$7</c:f>
              <c:numCache>
                <c:formatCode>#,##0.00</c:formatCode>
                <c:ptCount val="5"/>
                <c:pt idx="0">
                  <c:v>765.56</c:v>
                </c:pt>
                <c:pt idx="1">
                  <c:v>945.55</c:v>
                </c:pt>
                <c:pt idx="2">
                  <c:v>2131.75</c:v>
                </c:pt>
                <c:pt idx="3">
                  <c:v>3970.96</c:v>
                </c:pt>
                <c:pt idx="4">
                  <c:v>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1-42D4-8F01-DFE1ACEDEA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6719504"/>
        <c:axId val="366721904"/>
      </c:lineChart>
      <c:catAx>
        <c:axId val="36671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721904"/>
        <c:crosses val="autoZero"/>
        <c:auto val="1"/>
        <c:lblAlgn val="ctr"/>
        <c:lblOffset val="100"/>
        <c:noMultiLvlLbl val="0"/>
      </c:catAx>
      <c:valAx>
        <c:axId val="366721904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36671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00">
                <a:effectLst/>
              </a:rPr>
              <a:t>Profit After Tax Trend (₦bn)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GTCO</c:v>
          </c:tx>
          <c:spPr>
            <a:ln w="28575" cap="rnd">
              <a:solidFill>
                <a:srgbClr val="E67E2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7E22"/>
              </a:solidFill>
              <a:ln w="9525">
                <a:solidFill>
                  <a:srgbClr val="E67E2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0937664041994754E-2"/>
                  <c:y val="4.906277340332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18-441A-A01F-1168B968F49E}"/>
                </c:ext>
              </c:extLst>
            </c:dLbl>
            <c:dLbl>
              <c:idx val="3"/>
              <c:layout>
                <c:manualLayout>
                  <c:x val="-4.7430664916885391E-2"/>
                  <c:y val="7.2210921551472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18-441A-A01F-1168B968F4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Data_Entry!$I$5:$M$5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Data_Entry!$C$12:$G$12</c:f>
              <c:numCache>
                <c:formatCode>#,##0.00</c:formatCode>
                <c:ptCount val="5"/>
                <c:pt idx="0">
                  <c:v>174.84</c:v>
                </c:pt>
                <c:pt idx="1">
                  <c:v>169.17</c:v>
                </c:pt>
                <c:pt idx="2">
                  <c:v>539.65</c:v>
                </c:pt>
                <c:pt idx="3">
                  <c:v>1017.8</c:v>
                </c:pt>
                <c:pt idx="4">
                  <c:v>865.75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8-441A-A01F-1168B968F49E}"/>
            </c:ext>
          </c:extLst>
        </c:ser>
        <c:ser>
          <c:idx val="1"/>
          <c:order val="1"/>
          <c:tx>
            <c:v>Zenith</c:v>
          </c:tx>
          <c:spPr>
            <a:ln w="28575" cap="rnd">
              <a:solidFill>
                <a:srgbClr val="C0392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392B"/>
              </a:solidFill>
              <a:ln w="9525">
                <a:solidFill>
                  <a:srgbClr val="C0392B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7.7048775153105917E-2"/>
                  <c:y val="-5.3692038495188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18-441A-A01F-1168B968F49E}"/>
                </c:ext>
              </c:extLst>
            </c:dLbl>
            <c:dLbl>
              <c:idx val="2"/>
              <c:layout>
                <c:manualLayout>
                  <c:x val="-7.4270997375328135E-2"/>
                  <c:y val="-5.3692038495188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18-441A-A01F-1168B968F4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Data_Entry!$I$5:$M$5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Data_Entry!$I$12:$M$12</c:f>
              <c:numCache>
                <c:formatCode>#,##0.00</c:formatCode>
                <c:ptCount val="5"/>
                <c:pt idx="0">
                  <c:v>244.56</c:v>
                </c:pt>
                <c:pt idx="1">
                  <c:v>223.91</c:v>
                </c:pt>
                <c:pt idx="2">
                  <c:v>676.91</c:v>
                </c:pt>
                <c:pt idx="3">
                  <c:v>1032.9000000000001</c:v>
                </c:pt>
                <c:pt idx="4">
                  <c:v>1040.55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8-441A-A01F-1168B968F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659984"/>
        <c:axId val="366647984"/>
      </c:lineChart>
      <c:catAx>
        <c:axId val="3666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647984"/>
        <c:crosses val="autoZero"/>
        <c:auto val="1"/>
        <c:lblAlgn val="ctr"/>
        <c:lblOffset val="100"/>
        <c:noMultiLvlLbl val="0"/>
      </c:catAx>
      <c:valAx>
        <c:axId val="366647984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3666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00" b="1"/>
              <a:t>ROE Trend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6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GTCO</c:v>
          </c:tx>
          <c:spPr>
            <a:ln w="28575" cap="rnd">
              <a:solidFill>
                <a:srgbClr val="E67E2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7E22"/>
              </a:solidFill>
              <a:ln w="9525">
                <a:solidFill>
                  <a:srgbClr val="E67E2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6.1909886264216972E-2"/>
                  <c:y val="-5.3692038495188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C7-4988-9569-E4FFDC1BB5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Data_Entry!$C$5:$G$5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Data_Entry!$C$26:$G$26</c:f>
              <c:numCache>
                <c:formatCode>0.0</c:formatCode>
                <c:ptCount val="5"/>
                <c:pt idx="0">
                  <c:v>20.6</c:v>
                </c:pt>
                <c:pt idx="1">
                  <c:v>18.649999999999999</c:v>
                </c:pt>
                <c:pt idx="2">
                  <c:v>44.82</c:v>
                </c:pt>
                <c:pt idx="3">
                  <c:v>48.59</c:v>
                </c:pt>
                <c:pt idx="4">
                  <c:v>40.21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7-4988-9569-E4FFDC1BB58F}"/>
            </c:ext>
          </c:extLst>
        </c:ser>
        <c:ser>
          <c:idx val="1"/>
          <c:order val="1"/>
          <c:tx>
            <c:v>Zenith</c:v>
          </c:tx>
          <c:spPr>
            <a:ln w="28575" cap="rnd">
              <a:solidFill>
                <a:srgbClr val="C0392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392B"/>
              </a:solidFill>
              <a:ln w="9525">
                <a:solidFill>
                  <a:srgbClr val="C0392B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Data_Entry!$C$5:$G$5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Data_Entry!$I$26:$M$26</c:f>
              <c:numCache>
                <c:formatCode>0.0</c:formatCode>
                <c:ptCount val="5"/>
                <c:pt idx="0">
                  <c:v>20.399999999999999</c:v>
                </c:pt>
                <c:pt idx="1">
                  <c:v>16.8</c:v>
                </c:pt>
                <c:pt idx="2">
                  <c:v>36.6</c:v>
                </c:pt>
                <c:pt idx="3">
                  <c:v>32.5</c:v>
                </c:pt>
                <c:pt idx="4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7-4988-9569-E4FFDC1B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658544"/>
        <c:axId val="366659504"/>
      </c:lineChart>
      <c:catAx>
        <c:axId val="3666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6659504"/>
        <c:crosses val="autoZero"/>
        <c:auto val="1"/>
        <c:lblAlgn val="ctr"/>
        <c:lblOffset val="100"/>
        <c:noMultiLvlLbl val="0"/>
      </c:catAx>
      <c:valAx>
        <c:axId val="36665950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6665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00">
                <a:effectLst/>
              </a:rPr>
              <a:t>Total Assets Trend (₦bn)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4120370370370369"/>
          <c:w val="0.93888888888888888"/>
          <c:h val="0.76036271507728204"/>
        </c:manualLayout>
      </c:layout>
      <c:lineChart>
        <c:grouping val="standard"/>
        <c:varyColors val="0"/>
        <c:ser>
          <c:idx val="0"/>
          <c:order val="0"/>
          <c:tx>
            <c:v>GTCO</c:v>
          </c:tx>
          <c:spPr>
            <a:ln w="28575" cap="rnd">
              <a:solidFill>
                <a:srgbClr val="E67E2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7E22"/>
              </a:solidFill>
              <a:ln w="9525">
                <a:solidFill>
                  <a:srgbClr val="E67E2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Data_Entry!$C$5:$G$5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Data_Entry!$C$19:$G$19</c:f>
              <c:numCache>
                <c:formatCode>#,##0.00</c:formatCode>
                <c:ptCount val="5"/>
                <c:pt idx="0">
                  <c:v>5436.03</c:v>
                </c:pt>
                <c:pt idx="1">
                  <c:v>6446.46</c:v>
                </c:pt>
                <c:pt idx="2">
                  <c:v>9691.25</c:v>
                </c:pt>
                <c:pt idx="3">
                  <c:v>14795.71</c:v>
                </c:pt>
                <c:pt idx="4">
                  <c:v>17761.150000000001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2-4E6F-B415-4F180623C2E5}"/>
            </c:ext>
          </c:extLst>
        </c:ser>
        <c:ser>
          <c:idx val="1"/>
          <c:order val="1"/>
          <c:tx>
            <c:v>Zenith</c:v>
          </c:tx>
          <c:spPr>
            <a:ln w="28575" cap="rnd">
              <a:solidFill>
                <a:srgbClr val="C0392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392B"/>
              </a:solidFill>
              <a:ln w="9525">
                <a:solidFill>
                  <a:srgbClr val="C0392B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6944444444444463E-2"/>
                  <c:y val="-5.83216681248177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92-4E6F-B415-4F180623C2E5}"/>
                </c:ext>
              </c:extLst>
            </c:dLbl>
            <c:dLbl>
              <c:idx val="2"/>
              <c:layout>
                <c:manualLayout>
                  <c:x val="-9.8055555555555604E-2"/>
                  <c:y val="-5.3692038495188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92-4E6F-B415-4F180623C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Data_Entry!$C$5:$G$5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Data_Entry!$I$19:$M$19</c:f>
              <c:numCache>
                <c:formatCode>#,##0.00</c:formatCode>
                <c:ptCount val="5"/>
                <c:pt idx="0">
                  <c:v>9447.84</c:v>
                </c:pt>
                <c:pt idx="1">
                  <c:v>12285.63</c:v>
                </c:pt>
                <c:pt idx="2">
                  <c:v>20368.46</c:v>
                </c:pt>
                <c:pt idx="3">
                  <c:v>29957.53</c:v>
                </c:pt>
                <c:pt idx="4">
                  <c:v>31458.05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2-4E6F-B415-4F180623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833184"/>
        <c:axId val="1993824064"/>
      </c:lineChart>
      <c:catAx>
        <c:axId val="199383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3824064"/>
        <c:crosses val="autoZero"/>
        <c:auto val="1"/>
        <c:lblAlgn val="ctr"/>
        <c:lblOffset val="100"/>
        <c:noMultiLvlLbl val="0"/>
      </c:catAx>
      <c:valAx>
        <c:axId val="1993824064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9938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00">
                <a:effectLst/>
              </a:rPr>
              <a:t>2025 Key Ratios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GTCO</c:v>
          </c:tx>
          <c:spPr>
            <a:solidFill>
              <a:srgbClr val="E67E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ROE %</c:v>
              </c:pt>
              <c:pt idx="1">
                <c:v>ROA %</c:v>
              </c:pt>
              <c:pt idx="2">
                <c:v>CAR %</c:v>
              </c:pt>
              <c:pt idx="3">
                <c:v>Cost-to-Income %</c:v>
              </c:pt>
              <c:pt idx="4">
                <c:v>NPL / Net Loan Loss %</c:v>
              </c:pt>
            </c:strLit>
          </c:cat>
          <c:val>
            <c:numRef>
              <c:f>Data_Entry!$G$26:$G$30</c:f>
              <c:numCache>
                <c:formatCode>0.0</c:formatCode>
                <c:ptCount val="5"/>
                <c:pt idx="0">
                  <c:v>40.21</c:v>
                </c:pt>
                <c:pt idx="1">
                  <c:v>7.56</c:v>
                </c:pt>
                <c:pt idx="2">
                  <c:v>43.82</c:v>
                </c:pt>
                <c:pt idx="3">
                  <c:v>27.86</c:v>
                </c:pt>
                <c:pt idx="4">
                  <c:v>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D-45E4-9D0E-C3538248FD60}"/>
            </c:ext>
          </c:extLst>
        </c:ser>
        <c:ser>
          <c:idx val="1"/>
          <c:order val="1"/>
          <c:tx>
            <c:v>Zenith</c:v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ROE %</c:v>
              </c:pt>
              <c:pt idx="1">
                <c:v>ROA %</c:v>
              </c:pt>
              <c:pt idx="2">
                <c:v>CAR %</c:v>
              </c:pt>
              <c:pt idx="3">
                <c:v>Cost-to-Income %</c:v>
              </c:pt>
              <c:pt idx="4">
                <c:v>NPL / Net Loan Loss %</c:v>
              </c:pt>
            </c:strLit>
          </c:cat>
          <c:val>
            <c:numRef>
              <c:f>Data_Entry!$M$26:$M$30</c:f>
              <c:numCache>
                <c:formatCode>0.0</c:formatCode>
                <c:ptCount val="5"/>
                <c:pt idx="0">
                  <c:v>23.2</c:v>
                </c:pt>
                <c:pt idx="1">
                  <c:v>3.4</c:v>
                </c:pt>
                <c:pt idx="2">
                  <c:v>25.3</c:v>
                </c:pt>
                <c:pt idx="3">
                  <c:v>45.2</c:v>
                </c:pt>
                <c:pt idx="4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D-45E4-9D0E-C3538248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4113312"/>
        <c:axId val="724110912"/>
      </c:barChart>
      <c:catAx>
        <c:axId val="72411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4110912"/>
        <c:crosses val="autoZero"/>
        <c:auto val="1"/>
        <c:lblAlgn val="ctr"/>
        <c:lblOffset val="100"/>
        <c:noMultiLvlLbl val="0"/>
      </c:catAx>
      <c:valAx>
        <c:axId val="72411091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72411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19291</xdr:colOff>
      <xdr:row>18</xdr:row>
      <xdr:rowOff>123126</xdr:rowOff>
    </xdr:from>
    <xdr:to>
      <xdr:col>3</xdr:col>
      <xdr:colOff>925286</xdr:colOff>
      <xdr:row>36</xdr:row>
      <xdr:rowOff>77163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9B46C-FB6A-AFF0-6243-C57F2C272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1032761</xdr:colOff>
      <xdr:row>18</xdr:row>
      <xdr:rowOff>134464</xdr:rowOff>
    </xdr:from>
    <xdr:to>
      <xdr:col>7</xdr:col>
      <xdr:colOff>453570</xdr:colOff>
      <xdr:row>36</xdr:row>
      <xdr:rowOff>92891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DD42C8-8F51-5DB5-323F-FD5013D30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541021</xdr:colOff>
      <xdr:row>18</xdr:row>
      <xdr:rowOff>125393</xdr:rowOff>
    </xdr:from>
    <xdr:to>
      <xdr:col>12</xdr:col>
      <xdr:colOff>30480</xdr:colOff>
      <xdr:row>36</xdr:row>
      <xdr:rowOff>86811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5C434-F58F-2C4B-CB7A-1E5046FD0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11611</xdr:colOff>
      <xdr:row>37</xdr:row>
      <xdr:rowOff>65134</xdr:rowOff>
    </xdr:from>
    <xdr:to>
      <xdr:col>3</xdr:col>
      <xdr:colOff>925286</xdr:colOff>
      <xdr:row>56</xdr:row>
      <xdr:rowOff>54428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48FC3E-6BEC-5A76-9903-0F32211BB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37</xdr:row>
      <xdr:rowOff>50980</xdr:rowOff>
    </xdr:from>
    <xdr:to>
      <xdr:col>12</xdr:col>
      <xdr:colOff>30480</xdr:colOff>
      <xdr:row>56</xdr:row>
      <xdr:rowOff>43359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3BABCD-07F4-7CE9-F750-A21B5DE96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1137920</xdr:colOff>
      <xdr:row>11</xdr:row>
      <xdr:rowOff>111759</xdr:rowOff>
    </xdr:from>
    <xdr:to>
      <xdr:col>7</xdr:col>
      <xdr:colOff>568960</xdr:colOff>
      <xdr:row>16</xdr:row>
      <xdr:rowOff>203452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14BB87-FDFF-158F-9EB2-AB675015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880" y="2529839"/>
          <a:ext cx="1452880" cy="1260093"/>
        </a:xfrm>
        <a:prstGeom prst="rect">
          <a:avLst/>
        </a:prstGeom>
      </xdr:spPr>
    </xdr:pic>
    <xdr:clientData/>
  </xdr:twoCellAnchor>
  <xdr:twoCellAnchor editAs="oneCell">
    <xdr:from>
      <xdr:col>9</xdr:col>
      <xdr:colOff>599440</xdr:colOff>
      <xdr:row>11</xdr:row>
      <xdr:rowOff>137566</xdr:rowOff>
    </xdr:from>
    <xdr:to>
      <xdr:col>11</xdr:col>
      <xdr:colOff>558800</xdr:colOff>
      <xdr:row>16</xdr:row>
      <xdr:rowOff>218439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C0C005D5-823D-7E5A-9C17-AA8C75944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35440" y="2555646"/>
          <a:ext cx="1178560" cy="12492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2D6C7-2445-4553-9BA4-86A8CC9C5236}" name="Table1" displayName="Table1" ref="B6:E18" totalsRowShown="0" headerRowDxfId="8" dataDxfId="7" tableBorderDxfId="6">
  <autoFilter ref="B6:E18" xr:uid="{22D2D6C7-2445-4553-9BA4-86A8CC9C5236}">
    <filterColumn colId="0" hiddenButton="1"/>
    <filterColumn colId="1" hiddenButton="1"/>
    <filterColumn colId="2" hiddenButton="1"/>
    <filterColumn colId="3" hiddenButton="1"/>
  </autoFilter>
  <tableColumns count="4">
    <tableColumn id="1" xr3:uid="{1FED6896-BFEB-4318-B51D-299E6936225E}" name="METRIC" dataDxfId="5"/>
    <tableColumn id="2" xr3:uid="{1AE93125-BB84-4278-96E2-F618E5E28EA5}" name="GTCO" dataDxfId="4"/>
    <tableColumn id="3" xr3:uid="{545A83EE-E264-47A2-9322-61AE6FD95A83}" name="ZENITH" dataDxfId="3"/>
    <tableColumn id="4" xr3:uid="{61B412CF-A3D8-4AF8-B54D-D1C9C9AAB271}" name="WINNER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F249-37F9-4E14-B43C-B365329BD1A5}">
  <sheetPr codeName="Sheet1"/>
  <dimension ref="B2:O30"/>
  <sheetViews>
    <sheetView workbookViewId="0"/>
  </sheetViews>
  <sheetFormatPr defaultRowHeight="11.4" x14ac:dyDescent="0.2"/>
  <cols>
    <col min="1" max="1" width="2" style="1" customWidth="1"/>
    <col min="2" max="2" width="35.6640625" style="1" customWidth="1"/>
    <col min="3" max="7" width="12.77734375" style="1" customWidth="1"/>
    <col min="8" max="8" width="2" style="1" customWidth="1"/>
    <col min="9" max="13" width="12.77734375" style="1" customWidth="1"/>
    <col min="14" max="14" width="2" style="1" customWidth="1"/>
    <col min="15" max="15" width="22.88671875" style="1" customWidth="1"/>
    <col min="16" max="16384" width="8.88671875" style="1"/>
  </cols>
  <sheetData>
    <row r="2" spans="2:15" ht="15.6" x14ac:dyDescent="0.3">
      <c r="B2" s="10" t="s">
        <v>0</v>
      </c>
    </row>
    <row r="4" spans="2:15" ht="19.95" customHeight="1" x14ac:dyDescent="0.2">
      <c r="C4" s="42" t="s">
        <v>1</v>
      </c>
      <c r="D4" s="42"/>
      <c r="E4" s="42"/>
      <c r="F4" s="42"/>
      <c r="G4" s="42"/>
      <c r="I4" s="43" t="s">
        <v>2</v>
      </c>
      <c r="J4" s="43"/>
      <c r="K4" s="43"/>
      <c r="L4" s="43"/>
      <c r="M4" s="43"/>
    </row>
    <row r="5" spans="2:15" ht="19.95" customHeight="1" x14ac:dyDescent="0.3">
      <c r="B5" s="6" t="s">
        <v>3</v>
      </c>
      <c r="C5" s="7">
        <v>2021</v>
      </c>
      <c r="D5" s="7">
        <v>2022</v>
      </c>
      <c r="E5" s="7">
        <v>2023</v>
      </c>
      <c r="F5" s="7">
        <v>2024</v>
      </c>
      <c r="G5" s="7">
        <v>2025</v>
      </c>
      <c r="H5"/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O5" s="9" t="s">
        <v>4</v>
      </c>
    </row>
    <row r="6" spans="2:15" ht="19.95" customHeight="1" x14ac:dyDescent="0.2">
      <c r="B6" s="11" t="s">
        <v>5</v>
      </c>
      <c r="C6" s="12"/>
      <c r="D6" s="12"/>
      <c r="E6" s="12"/>
      <c r="F6" s="12"/>
      <c r="G6" s="12"/>
      <c r="I6" s="12"/>
      <c r="J6" s="12"/>
      <c r="K6" s="12"/>
      <c r="L6" s="12"/>
      <c r="M6" s="12"/>
      <c r="O6" s="12"/>
    </row>
    <row r="7" spans="2:15" ht="19.95" customHeight="1" x14ac:dyDescent="0.2">
      <c r="B7" s="14" t="s">
        <v>6</v>
      </c>
      <c r="C7" s="3">
        <v>447.81</v>
      </c>
      <c r="D7" s="3">
        <v>539.24</v>
      </c>
      <c r="E7" s="3">
        <v>1186.47</v>
      </c>
      <c r="F7" s="3">
        <v>2148.34</v>
      </c>
      <c r="G7" s="3">
        <v>2150.37</v>
      </c>
      <c r="I7" s="3">
        <v>765.56</v>
      </c>
      <c r="J7" s="3">
        <v>945.55</v>
      </c>
      <c r="K7" s="3">
        <v>2131.75</v>
      </c>
      <c r="L7" s="3">
        <v>3970.96</v>
      </c>
      <c r="M7" s="21">
        <v>4192</v>
      </c>
      <c r="O7" s="13" t="s">
        <v>31</v>
      </c>
    </row>
    <row r="8" spans="2:15" ht="19.95" customHeight="1" x14ac:dyDescent="0.2">
      <c r="B8" s="14" t="s">
        <v>7</v>
      </c>
      <c r="C8" s="3">
        <v>220.61</v>
      </c>
      <c r="D8" s="3">
        <v>259.3</v>
      </c>
      <c r="E8" s="3">
        <v>436.7</v>
      </c>
      <c r="F8" s="3">
        <v>1058.5899999999999</v>
      </c>
      <c r="G8" s="3">
        <v>1260.5899999999999</v>
      </c>
      <c r="I8" s="3">
        <v>320.8</v>
      </c>
      <c r="J8" s="3">
        <v>366.63</v>
      </c>
      <c r="K8" s="3">
        <v>736.18</v>
      </c>
      <c r="L8" s="3">
        <v>1728.9</v>
      </c>
      <c r="M8" s="21">
        <v>2639.53</v>
      </c>
      <c r="O8" s="13" t="s">
        <v>32</v>
      </c>
    </row>
    <row r="9" spans="2:15" ht="19.95" customHeight="1" x14ac:dyDescent="0.2">
      <c r="B9" s="14" t="s">
        <v>8</v>
      </c>
      <c r="C9" s="3">
        <v>74.12</v>
      </c>
      <c r="D9" s="3">
        <v>90.61</v>
      </c>
      <c r="E9" s="3">
        <v>124.16</v>
      </c>
      <c r="F9" s="3">
        <v>221.23</v>
      </c>
      <c r="G9" s="3">
        <v>278.51</v>
      </c>
      <c r="I9" s="3">
        <v>132.88</v>
      </c>
      <c r="J9" s="3">
        <v>157.22</v>
      </c>
      <c r="K9" s="3">
        <v>177.52</v>
      </c>
      <c r="L9" s="3">
        <v>356.34</v>
      </c>
      <c r="M9" s="21">
        <v>404.95</v>
      </c>
      <c r="O9" s="13" t="s">
        <v>33</v>
      </c>
    </row>
    <row r="10" spans="2:15" ht="19.95" customHeight="1" x14ac:dyDescent="0.2">
      <c r="B10" s="14" t="s">
        <v>9</v>
      </c>
      <c r="C10" s="3">
        <v>162.27000000000001</v>
      </c>
      <c r="D10" s="3">
        <v>197.9</v>
      </c>
      <c r="E10" s="3">
        <v>250.42</v>
      </c>
      <c r="F10" s="3">
        <v>403.03</v>
      </c>
      <c r="G10" s="3">
        <v>475.37</v>
      </c>
      <c r="I10" s="3">
        <v>289.52999999999997</v>
      </c>
      <c r="J10" s="3">
        <v>339.69</v>
      </c>
      <c r="K10" s="3">
        <v>449.47</v>
      </c>
      <c r="L10" s="3">
        <v>843.35</v>
      </c>
      <c r="M10" s="21">
        <v>1039.5</v>
      </c>
      <c r="O10" s="13" t="s">
        <v>32</v>
      </c>
    </row>
    <row r="11" spans="2:15" ht="19.95" customHeight="1" x14ac:dyDescent="0.2">
      <c r="B11" s="14" t="s">
        <v>10</v>
      </c>
      <c r="C11" s="3">
        <v>221.5</v>
      </c>
      <c r="D11" s="3">
        <v>214.15</v>
      </c>
      <c r="E11" s="3">
        <v>609.30999999999995</v>
      </c>
      <c r="F11" s="3">
        <v>1266.25</v>
      </c>
      <c r="G11" s="3">
        <v>1231.08</v>
      </c>
      <c r="I11" s="3">
        <v>280.37</v>
      </c>
      <c r="J11" s="3">
        <v>284.64999999999998</v>
      </c>
      <c r="K11" s="3">
        <v>795.96</v>
      </c>
      <c r="L11" s="3">
        <v>1326.85</v>
      </c>
      <c r="M11" s="21">
        <v>1263.3699999999999</v>
      </c>
      <c r="O11" s="13" t="s">
        <v>34</v>
      </c>
    </row>
    <row r="12" spans="2:15" ht="19.95" customHeight="1" x14ac:dyDescent="0.2">
      <c r="B12" s="14" t="s">
        <v>11</v>
      </c>
      <c r="C12" s="3">
        <v>174.84</v>
      </c>
      <c r="D12" s="3">
        <v>169.17</v>
      </c>
      <c r="E12" s="3">
        <v>539.65</v>
      </c>
      <c r="F12" s="3">
        <v>1017.8</v>
      </c>
      <c r="G12" s="3">
        <v>865.75</v>
      </c>
      <c r="I12" s="3">
        <v>244.56</v>
      </c>
      <c r="J12" s="3">
        <v>223.91</v>
      </c>
      <c r="K12" s="3">
        <v>676.91</v>
      </c>
      <c r="L12" s="3">
        <v>1032.9000000000001</v>
      </c>
      <c r="M12" s="21">
        <v>1040.55</v>
      </c>
      <c r="O12" s="13" t="s">
        <v>34</v>
      </c>
    </row>
    <row r="13" spans="2:15" ht="19.95" customHeight="1" x14ac:dyDescent="0.2">
      <c r="B13" s="14" t="s">
        <v>12</v>
      </c>
      <c r="C13" s="3">
        <v>6.14</v>
      </c>
      <c r="D13" s="3">
        <v>5.95</v>
      </c>
      <c r="E13" s="3">
        <v>19.07</v>
      </c>
      <c r="F13" s="3">
        <v>35.44</v>
      </c>
      <c r="G13" s="3">
        <v>25.43</v>
      </c>
      <c r="I13" s="3">
        <v>7.78</v>
      </c>
      <c r="J13" s="3">
        <v>7.14</v>
      </c>
      <c r="K13" s="3">
        <v>21.55</v>
      </c>
      <c r="L13" s="3">
        <v>32.869999999999997</v>
      </c>
      <c r="M13" s="21">
        <v>25.32</v>
      </c>
      <c r="O13" s="13" t="s">
        <v>35</v>
      </c>
    </row>
    <row r="14" spans="2:15" ht="19.95" customHeight="1" x14ac:dyDescent="0.2">
      <c r="B14" s="14" t="s">
        <v>13</v>
      </c>
      <c r="C14" s="3">
        <v>3</v>
      </c>
      <c r="D14" s="3">
        <v>3.1</v>
      </c>
      <c r="E14" s="3">
        <v>3.2</v>
      </c>
      <c r="F14" s="3">
        <v>8.0299999999999994</v>
      </c>
      <c r="G14" s="3">
        <v>12.76</v>
      </c>
      <c r="I14" s="3">
        <v>3.1</v>
      </c>
      <c r="J14" s="3">
        <v>3.2</v>
      </c>
      <c r="K14" s="3">
        <v>4</v>
      </c>
      <c r="L14" s="3">
        <v>5</v>
      </c>
      <c r="M14" s="21">
        <v>10</v>
      </c>
      <c r="O14" s="13" t="s">
        <v>36</v>
      </c>
    </row>
    <row r="15" spans="2:15" ht="19.95" customHeight="1" x14ac:dyDescent="0.2">
      <c r="B15" s="15" t="s">
        <v>14</v>
      </c>
      <c r="C15" s="17">
        <f>IFERROR(C11/C7*100,"—")</f>
        <v>49.462941872669212</v>
      </c>
      <c r="D15" s="17">
        <f t="shared" ref="D15:G15" si="0">IFERROR(D11/D7*100,"—")</f>
        <v>39.713300200281878</v>
      </c>
      <c r="E15" s="17">
        <f t="shared" si="0"/>
        <v>51.354859372761211</v>
      </c>
      <c r="F15" s="17">
        <f t="shared" si="0"/>
        <v>58.940856661422302</v>
      </c>
      <c r="G15" s="17">
        <f t="shared" si="0"/>
        <v>57.249682612759671</v>
      </c>
      <c r="I15" s="18">
        <f>IFERROR(I11/I7*100,"—")</f>
        <v>36.622864308480068</v>
      </c>
      <c r="J15" s="18">
        <f t="shared" ref="J15:M15" si="1">IFERROR(J11/J7*100,"—")</f>
        <v>30.104172174924649</v>
      </c>
      <c r="K15" s="18">
        <f t="shared" si="1"/>
        <v>37.338337047027096</v>
      </c>
      <c r="L15" s="18">
        <f t="shared" si="1"/>
        <v>33.413834438020025</v>
      </c>
      <c r="M15" s="18">
        <f t="shared" si="1"/>
        <v>30.137643129770993</v>
      </c>
      <c r="O15" s="13" t="s">
        <v>37</v>
      </c>
    </row>
    <row r="16" spans="2:15" ht="19.95" customHeight="1" x14ac:dyDescent="0.2">
      <c r="B16" s="15" t="s">
        <v>16</v>
      </c>
      <c r="C16" s="17">
        <f>IFERROR(C12/C7*100,"—")</f>
        <v>39.04334427547397</v>
      </c>
      <c r="D16" s="17">
        <f t="shared" ref="D16:G16" si="2">IFERROR(D12/D7*100,"—")</f>
        <v>31.371930865662783</v>
      </c>
      <c r="E16" s="17">
        <f t="shared" si="2"/>
        <v>45.48366161807715</v>
      </c>
      <c r="F16" s="17">
        <f t="shared" si="2"/>
        <v>47.37611365053948</v>
      </c>
      <c r="G16" s="17">
        <f t="shared" si="2"/>
        <v>40.260513307012289</v>
      </c>
      <c r="I16" s="18">
        <f>IFERROR(I12/I7*100,"—")</f>
        <v>31.945242698155603</v>
      </c>
      <c r="J16" s="18">
        <f t="shared" ref="J16:M16" si="3">IFERROR(J12/J7*100,"—")</f>
        <v>23.680397652160121</v>
      </c>
      <c r="K16" s="18">
        <f t="shared" si="3"/>
        <v>31.753723466635392</v>
      </c>
      <c r="L16" s="18">
        <f t="shared" si="3"/>
        <v>26.011342345427806</v>
      </c>
      <c r="M16" s="18">
        <f t="shared" si="3"/>
        <v>24.822280534351144</v>
      </c>
      <c r="O16" s="13" t="s">
        <v>38</v>
      </c>
    </row>
    <row r="17" spans="2:15" ht="19.95" customHeight="1" x14ac:dyDescent="0.2">
      <c r="B17" s="15" t="s">
        <v>17</v>
      </c>
      <c r="C17" s="17" t="s">
        <v>15</v>
      </c>
      <c r="D17" s="17">
        <f>IFERROR((D12-C12)/C12*100,"—")</f>
        <v>-3.2429649965683005</v>
      </c>
      <c r="E17" s="17">
        <f t="shared" ref="E17:G17" si="4">IFERROR((E12-D12)/D12*100,"—")</f>
        <v>218.99864042087844</v>
      </c>
      <c r="F17" s="17">
        <f t="shared" si="4"/>
        <v>88.60372463633837</v>
      </c>
      <c r="G17" s="17">
        <f t="shared" si="4"/>
        <v>-14.939084299469441</v>
      </c>
      <c r="I17" s="18" t="s">
        <v>15</v>
      </c>
      <c r="J17" s="18">
        <f>IFERROR((J12-I12)/I12*100,"—")</f>
        <v>-8.4437356885835815</v>
      </c>
      <c r="K17" s="18">
        <f t="shared" ref="K17:M17" si="5">IFERROR((K12-J12)/J12*100,"—")</f>
        <v>202.31342950292529</v>
      </c>
      <c r="L17" s="18">
        <f t="shared" si="5"/>
        <v>52.59044777001376</v>
      </c>
      <c r="M17" s="18">
        <f t="shared" si="5"/>
        <v>0.74063316874817142</v>
      </c>
      <c r="O17" s="13" t="s">
        <v>39</v>
      </c>
    </row>
    <row r="18" spans="2:15" ht="19.95" customHeight="1" x14ac:dyDescent="0.2">
      <c r="B18" s="11" t="s">
        <v>18</v>
      </c>
      <c r="C18" s="12"/>
      <c r="D18" s="12"/>
      <c r="E18" s="12"/>
      <c r="F18" s="12"/>
      <c r="G18" s="12"/>
      <c r="I18" s="12"/>
      <c r="J18" s="12"/>
      <c r="K18" s="12"/>
      <c r="L18" s="12"/>
      <c r="M18" s="12"/>
      <c r="O18" s="16"/>
    </row>
    <row r="19" spans="2:15" ht="19.95" customHeight="1" x14ac:dyDescent="0.2">
      <c r="B19" s="14" t="s">
        <v>19</v>
      </c>
      <c r="C19" s="3">
        <v>5436.03</v>
      </c>
      <c r="D19" s="3">
        <v>6446.46</v>
      </c>
      <c r="E19" s="3">
        <v>9691.25</v>
      </c>
      <c r="F19" s="3">
        <v>14795.71</v>
      </c>
      <c r="G19" s="3">
        <v>17761.150000000001</v>
      </c>
      <c r="I19" s="3">
        <v>9447.84</v>
      </c>
      <c r="J19" s="3">
        <v>12285.63</v>
      </c>
      <c r="K19" s="3">
        <v>20368.46</v>
      </c>
      <c r="L19" s="3">
        <v>29957.53</v>
      </c>
      <c r="M19" s="21">
        <v>31458.05</v>
      </c>
      <c r="O19" s="13" t="s">
        <v>40</v>
      </c>
    </row>
    <row r="20" spans="2:15" ht="19.95" customHeight="1" x14ac:dyDescent="0.2">
      <c r="B20" s="14" t="s">
        <v>20</v>
      </c>
      <c r="C20" s="3">
        <v>4012.31</v>
      </c>
      <c r="D20" s="3">
        <v>4485.1099999999997</v>
      </c>
      <c r="E20" s="3">
        <v>7410.83</v>
      </c>
      <c r="F20" s="3">
        <v>10013.02</v>
      </c>
      <c r="G20" s="3">
        <v>12874.04</v>
      </c>
      <c r="I20" s="3">
        <v>6472.05</v>
      </c>
      <c r="J20" s="3">
        <v>8975.65</v>
      </c>
      <c r="K20" s="3">
        <v>15167.74</v>
      </c>
      <c r="L20" s="3">
        <v>21959.37</v>
      </c>
      <c r="M20" s="21">
        <v>24329.96</v>
      </c>
      <c r="O20" s="13" t="s">
        <v>41</v>
      </c>
    </row>
    <row r="21" spans="2:15" ht="19.95" customHeight="1" x14ac:dyDescent="0.2">
      <c r="B21" s="14" t="s">
        <v>21</v>
      </c>
      <c r="C21" s="3">
        <v>1802.59</v>
      </c>
      <c r="D21" s="3">
        <v>1885.8</v>
      </c>
      <c r="E21" s="3">
        <v>2480.1799999999998</v>
      </c>
      <c r="F21" s="3">
        <v>2795.66</v>
      </c>
      <c r="G21" s="3">
        <v>3132.22</v>
      </c>
      <c r="I21" s="3">
        <v>3355.73</v>
      </c>
      <c r="J21" s="3">
        <v>4013.71</v>
      </c>
      <c r="K21" s="3">
        <v>6556.47</v>
      </c>
      <c r="L21" s="3">
        <v>9965.36</v>
      </c>
      <c r="M21" s="21">
        <v>10448.950000000001</v>
      </c>
      <c r="O21" s="13" t="s">
        <v>40</v>
      </c>
    </row>
    <row r="22" spans="2:15" ht="19.95" customHeight="1" x14ac:dyDescent="0.2">
      <c r="B22" s="14" t="s">
        <v>22</v>
      </c>
      <c r="C22" s="3">
        <v>883.23</v>
      </c>
      <c r="D22" s="3">
        <v>931.15</v>
      </c>
      <c r="E22" s="3">
        <v>1477.13</v>
      </c>
      <c r="F22" s="3">
        <v>2712.02</v>
      </c>
      <c r="G22" s="3">
        <v>3411.38</v>
      </c>
      <c r="I22" s="3">
        <v>1279.6600000000001</v>
      </c>
      <c r="J22" s="3">
        <v>1378.94</v>
      </c>
      <c r="K22" s="3">
        <v>2323.38</v>
      </c>
      <c r="L22" s="3">
        <v>4029.27</v>
      </c>
      <c r="M22" s="21">
        <v>4924.21</v>
      </c>
      <c r="O22" s="13" t="s">
        <v>41</v>
      </c>
    </row>
    <row r="23" spans="2:15" ht="19.95" customHeight="1" x14ac:dyDescent="0.2">
      <c r="B23" s="15" t="s">
        <v>23</v>
      </c>
      <c r="C23" s="19">
        <f>IFERROR((C21/C20)*100,"—")</f>
        <v>44.926488730930558</v>
      </c>
      <c r="D23" s="19">
        <f t="shared" ref="D23:G23" si="6">IFERROR((D21/D20)*100,"—")</f>
        <v>42.045791519048585</v>
      </c>
      <c r="E23" s="19">
        <f t="shared" si="6"/>
        <v>33.466966588087971</v>
      </c>
      <c r="F23" s="19">
        <f t="shared" si="6"/>
        <v>27.920247837315813</v>
      </c>
      <c r="G23" s="19">
        <f t="shared" si="6"/>
        <v>24.329736430832899</v>
      </c>
      <c r="I23" s="18">
        <f>IFERROR(I21/I20*100,"—")</f>
        <v>51.849568529291332</v>
      </c>
      <c r="J23" s="18">
        <f t="shared" ref="J23:M23" si="7">IFERROR(J21/J20*100,"—")</f>
        <v>44.717764173068247</v>
      </c>
      <c r="K23" s="18">
        <f t="shared" si="7"/>
        <v>43.226413427445358</v>
      </c>
      <c r="L23" s="18">
        <f t="shared" si="7"/>
        <v>45.380901182502051</v>
      </c>
      <c r="M23" s="18">
        <f t="shared" si="7"/>
        <v>42.94684413784487</v>
      </c>
      <c r="O23" s="13" t="s">
        <v>42</v>
      </c>
    </row>
    <row r="24" spans="2:15" ht="19.95" customHeight="1" x14ac:dyDescent="0.2">
      <c r="B24" s="15" t="s">
        <v>24</v>
      </c>
      <c r="C24" s="19">
        <f>IFERROR((C22/C19)*100,"—")</f>
        <v>16.247702827247089</v>
      </c>
      <c r="D24" s="19">
        <f t="shared" ref="D24:G24" si="8">IFERROR((D22/D19)*100,"—")</f>
        <v>14.444361711699132</v>
      </c>
      <c r="E24" s="19">
        <f t="shared" si="8"/>
        <v>15.241893460595898</v>
      </c>
      <c r="F24" s="19">
        <f t="shared" si="8"/>
        <v>18.329772616521954</v>
      </c>
      <c r="G24" s="19">
        <f t="shared" si="8"/>
        <v>19.206977025699349</v>
      </c>
      <c r="I24" s="18">
        <f>IFERROR(I22/I19*100,"—")</f>
        <v>13.544471540584938</v>
      </c>
      <c r="J24" s="18">
        <f t="shared" ref="J24:M24" si="9">IFERROR(J22/J19*100,"—")</f>
        <v>11.224007234468237</v>
      </c>
      <c r="K24" s="18">
        <f t="shared" si="9"/>
        <v>11.406753382435394</v>
      </c>
      <c r="L24" s="18">
        <f t="shared" si="9"/>
        <v>13.449940632622248</v>
      </c>
      <c r="M24" s="18">
        <f t="shared" si="9"/>
        <v>15.653258863788441</v>
      </c>
      <c r="O24" s="13" t="s">
        <v>43</v>
      </c>
    </row>
    <row r="25" spans="2:15" ht="19.95" customHeight="1" x14ac:dyDescent="0.2">
      <c r="B25" s="11" t="s">
        <v>25</v>
      </c>
      <c r="C25" s="12"/>
      <c r="D25" s="12"/>
      <c r="E25" s="12"/>
      <c r="F25" s="12"/>
      <c r="G25" s="12"/>
      <c r="I25" s="12"/>
      <c r="J25" s="12"/>
      <c r="K25" s="12"/>
      <c r="L25" s="12"/>
      <c r="M25" s="12"/>
      <c r="O25" s="16"/>
    </row>
    <row r="26" spans="2:15" ht="19.95" customHeight="1" x14ac:dyDescent="0.2">
      <c r="B26" s="14" t="s">
        <v>26</v>
      </c>
      <c r="C26" s="20">
        <v>20.6</v>
      </c>
      <c r="D26" s="20">
        <v>18.649999999999999</v>
      </c>
      <c r="E26" s="20">
        <v>44.82</v>
      </c>
      <c r="F26" s="20">
        <v>48.59</v>
      </c>
      <c r="G26" s="20">
        <v>40.21</v>
      </c>
      <c r="I26" s="4">
        <v>20.399999999999999</v>
      </c>
      <c r="J26" s="4">
        <v>16.8</v>
      </c>
      <c r="K26" s="4">
        <v>36.6</v>
      </c>
      <c r="L26" s="4">
        <v>32.5</v>
      </c>
      <c r="M26" s="5">
        <v>23.2</v>
      </c>
      <c r="O26" s="13" t="s">
        <v>44</v>
      </c>
    </row>
    <row r="27" spans="2:15" ht="19.95" customHeight="1" x14ac:dyDescent="0.2">
      <c r="B27" s="14" t="s">
        <v>27</v>
      </c>
      <c r="C27" s="20">
        <v>3.37</v>
      </c>
      <c r="D27" s="20">
        <v>2.85</v>
      </c>
      <c r="E27" s="20">
        <v>6.69</v>
      </c>
      <c r="F27" s="20">
        <v>8.31</v>
      </c>
      <c r="G27" s="20">
        <v>7.56</v>
      </c>
      <c r="I27" s="4">
        <v>2.7</v>
      </c>
      <c r="J27" s="4">
        <v>2.1</v>
      </c>
      <c r="K27" s="4">
        <v>4.0999999999999996</v>
      </c>
      <c r="L27" s="4">
        <v>4.0999999999999996</v>
      </c>
      <c r="M27" s="5">
        <v>3.4</v>
      </c>
      <c r="O27" s="13" t="s">
        <v>45</v>
      </c>
    </row>
    <row r="28" spans="2:15" ht="19.95" customHeight="1" x14ac:dyDescent="0.2">
      <c r="B28" s="14" t="s">
        <v>28</v>
      </c>
      <c r="C28" s="20">
        <v>23.83</v>
      </c>
      <c r="D28" s="20">
        <v>24.08</v>
      </c>
      <c r="E28" s="20">
        <v>21.94</v>
      </c>
      <c r="F28" s="20">
        <v>39.31</v>
      </c>
      <c r="G28" s="20">
        <v>43.82</v>
      </c>
      <c r="I28" s="4">
        <v>21</v>
      </c>
      <c r="J28" s="4">
        <v>19.8</v>
      </c>
      <c r="K28" s="4">
        <v>21.7</v>
      </c>
      <c r="L28" s="4">
        <v>25.6</v>
      </c>
      <c r="M28" s="5">
        <v>25.3</v>
      </c>
      <c r="O28" s="13" t="s">
        <v>46</v>
      </c>
    </row>
    <row r="29" spans="2:15" ht="19.95" customHeight="1" x14ac:dyDescent="0.2">
      <c r="B29" s="14" t="s">
        <v>29</v>
      </c>
      <c r="C29" s="20"/>
      <c r="D29" s="20">
        <v>48.03</v>
      </c>
      <c r="E29" s="20">
        <v>29.13</v>
      </c>
      <c r="F29" s="20">
        <v>24.14</v>
      </c>
      <c r="G29" s="20">
        <v>27.86</v>
      </c>
      <c r="I29" s="4">
        <v>50.8</v>
      </c>
      <c r="J29" s="4">
        <v>54.4</v>
      </c>
      <c r="K29" s="4">
        <v>36.1</v>
      </c>
      <c r="L29" s="4">
        <v>38.9</v>
      </c>
      <c r="M29" s="5">
        <v>45.2</v>
      </c>
      <c r="O29" s="13" t="s">
        <v>47</v>
      </c>
    </row>
    <row r="30" spans="2:15" ht="19.95" customHeight="1" x14ac:dyDescent="0.2">
      <c r="B30" s="14" t="s">
        <v>30</v>
      </c>
      <c r="C30" s="20"/>
      <c r="D30" s="20">
        <v>0.62</v>
      </c>
      <c r="E30" s="20">
        <v>4.49</v>
      </c>
      <c r="F30" s="20">
        <v>4.9400000000000004</v>
      </c>
      <c r="G30" s="20">
        <v>2.16</v>
      </c>
      <c r="I30" s="4">
        <v>4.1900000000000004</v>
      </c>
      <c r="J30" s="4">
        <v>4.3</v>
      </c>
      <c r="K30" s="4">
        <v>4.82</v>
      </c>
      <c r="L30" s="4">
        <v>3.48</v>
      </c>
      <c r="M30" s="5">
        <v>3.8</v>
      </c>
      <c r="O30" s="13" t="s">
        <v>48</v>
      </c>
    </row>
  </sheetData>
  <sheetProtection algorithmName="SHA-512" hashValue="Jj6O85w57xOW0K7IT1V2Q6B7s1mIZ69gNB3RjGpSoXgLBmJbKbDOh7IVfOB2gEXUIJk+Y1jS/LRYvnJxNlVB3A==" saltValue="Hhd2WukhFLhcL/RCyAEM3g==" spinCount="100000" sheet="1" objects="1" scenarios="1"/>
  <mergeCells count="2">
    <mergeCell ref="C4:G4"/>
    <mergeCell ref="I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5377-5414-4E00-B766-A6A396EEC349}">
  <sheetPr codeName="Sheet2"/>
  <dimension ref="B2:L21"/>
  <sheetViews>
    <sheetView tabSelected="1" zoomScale="61" zoomScaleNormal="50" workbookViewId="0"/>
  </sheetViews>
  <sheetFormatPr defaultRowHeight="11.4" x14ac:dyDescent="0.2"/>
  <cols>
    <col min="1" max="1" width="2" style="1" customWidth="1"/>
    <col min="2" max="2" width="27" style="1" customWidth="1"/>
    <col min="3" max="5" width="15.77734375" style="1" customWidth="1"/>
    <col min="6" max="6" width="2" style="1" customWidth="1"/>
    <col min="7" max="7" width="29.44140625" style="1" customWidth="1"/>
    <col min="8" max="11" width="8.88671875" style="1"/>
    <col min="12" max="12" width="30.33203125" style="1" customWidth="1"/>
    <col min="13" max="13" width="2" style="1" customWidth="1"/>
    <col min="14" max="16384" width="8.88671875" style="1"/>
  </cols>
  <sheetData>
    <row r="2" spans="2:12" ht="24.6" x14ac:dyDescent="0.4">
      <c r="B2" s="39" t="s">
        <v>50</v>
      </c>
    </row>
    <row r="3" spans="2:12" ht="18" x14ac:dyDescent="0.35">
      <c r="B3" s="40" t="s">
        <v>49</v>
      </c>
    </row>
    <row r="5" spans="2:12" ht="18" customHeight="1" x14ac:dyDescent="0.2">
      <c r="B5" s="32" t="s">
        <v>64</v>
      </c>
      <c r="C5" s="32"/>
      <c r="D5" s="32"/>
      <c r="E5" s="32"/>
      <c r="G5" s="32" t="s">
        <v>65</v>
      </c>
      <c r="H5" s="32"/>
      <c r="I5" s="32"/>
      <c r="J5" s="32"/>
      <c r="K5" s="32"/>
      <c r="L5" s="32"/>
    </row>
    <row r="6" spans="2:12" ht="18" customHeight="1" x14ac:dyDescent="0.3">
      <c r="B6" s="35" t="s">
        <v>3</v>
      </c>
      <c r="C6" s="36" t="s">
        <v>51</v>
      </c>
      <c r="D6" s="37" t="s">
        <v>52</v>
      </c>
      <c r="E6" s="38" t="s">
        <v>53</v>
      </c>
      <c r="G6" s="33" t="s">
        <v>66</v>
      </c>
      <c r="H6" s="34"/>
      <c r="I6" s="34"/>
      <c r="J6" s="34"/>
      <c r="K6" s="34"/>
      <c r="L6" s="34"/>
    </row>
    <row r="7" spans="2:12" ht="18" customHeight="1" x14ac:dyDescent="0.3">
      <c r="B7" s="22" t="s">
        <v>54</v>
      </c>
      <c r="C7" s="23">
        <f>Data_Entry!G7</f>
        <v>2150.37</v>
      </c>
      <c r="D7" s="24">
        <f>Data_Entry!M7</f>
        <v>4192</v>
      </c>
      <c r="E7" s="25" t="str">
        <f t="shared" ref="E7:E14" si="0">IFERROR(IF(C7&gt;D7,"GTCO ✓",IF(D7&gt;C7,"ZENITH ✓","TIE")),"—")</f>
        <v>ZENITH ✓</v>
      </c>
      <c r="G7" s="33" t="s">
        <v>67</v>
      </c>
      <c r="H7" s="34"/>
      <c r="I7" s="34"/>
      <c r="J7" s="34"/>
      <c r="K7" s="34"/>
      <c r="L7" s="34"/>
    </row>
    <row r="8" spans="2:12" ht="18" customHeight="1" x14ac:dyDescent="0.3">
      <c r="B8" s="22" t="s">
        <v>55</v>
      </c>
      <c r="C8" s="23">
        <f>Data_Entry!G11</f>
        <v>1231.08</v>
      </c>
      <c r="D8" s="24">
        <f>Data_Entry!M11</f>
        <v>1263.3699999999999</v>
      </c>
      <c r="E8" s="25" t="str">
        <f t="shared" si="0"/>
        <v>ZENITH ✓</v>
      </c>
      <c r="G8" s="33" t="s">
        <v>68</v>
      </c>
      <c r="H8" s="34"/>
      <c r="I8" s="34"/>
      <c r="J8" s="34"/>
      <c r="K8" s="34"/>
      <c r="L8" s="34"/>
    </row>
    <row r="9" spans="2:12" ht="18" customHeight="1" x14ac:dyDescent="0.3">
      <c r="B9" s="22" t="s">
        <v>56</v>
      </c>
      <c r="C9" s="23">
        <f>Data_Entry!G12</f>
        <v>865.75</v>
      </c>
      <c r="D9" s="24">
        <f>Data_Entry!M12</f>
        <v>1040.55</v>
      </c>
      <c r="E9" s="25" t="str">
        <f t="shared" si="0"/>
        <v>ZENITH ✓</v>
      </c>
      <c r="G9" s="33" t="s">
        <v>69</v>
      </c>
      <c r="H9" s="34"/>
      <c r="I9" s="34"/>
      <c r="J9" s="34"/>
      <c r="K9" s="34"/>
      <c r="L9" s="34"/>
    </row>
    <row r="10" spans="2:12" ht="18" customHeight="1" x14ac:dyDescent="0.3">
      <c r="B10" s="22" t="s">
        <v>57</v>
      </c>
      <c r="C10" s="23">
        <f>Data_Entry!G19</f>
        <v>17761.150000000001</v>
      </c>
      <c r="D10" s="24">
        <f>Data_Entry!M19</f>
        <v>31458.05</v>
      </c>
      <c r="E10" s="25" t="str">
        <f t="shared" si="0"/>
        <v>ZENITH ✓</v>
      </c>
      <c r="G10" s="33" t="s">
        <v>70</v>
      </c>
      <c r="H10" s="34"/>
      <c r="I10" s="34"/>
      <c r="J10" s="34"/>
      <c r="K10" s="34"/>
      <c r="L10" s="34"/>
    </row>
    <row r="11" spans="2:12" ht="18" customHeight="1" x14ac:dyDescent="0.2">
      <c r="B11" s="22" t="s">
        <v>58</v>
      </c>
      <c r="C11" s="23">
        <f>Data_Entry!G20</f>
        <v>12874.04</v>
      </c>
      <c r="D11" s="24">
        <f>Data_Entry!M20</f>
        <v>24329.96</v>
      </c>
      <c r="E11" s="25" t="str">
        <f t="shared" si="0"/>
        <v>ZENITH ✓</v>
      </c>
    </row>
    <row r="12" spans="2:12" ht="18" customHeight="1" x14ac:dyDescent="0.2">
      <c r="B12" s="22" t="s">
        <v>59</v>
      </c>
      <c r="C12" s="26">
        <f>Data_Entry!G26</f>
        <v>40.21</v>
      </c>
      <c r="D12" s="27">
        <f>Data_Entry!M26</f>
        <v>23.2</v>
      </c>
      <c r="E12" s="25" t="str">
        <f t="shared" si="0"/>
        <v>GTCO ✓</v>
      </c>
    </row>
    <row r="13" spans="2:12" ht="18" customHeight="1" x14ac:dyDescent="0.2">
      <c r="B13" s="22" t="s">
        <v>60</v>
      </c>
      <c r="C13" s="26">
        <f>Data_Entry!G27</f>
        <v>7.56</v>
      </c>
      <c r="D13" s="27">
        <f>Data_Entry!M27</f>
        <v>3.4</v>
      </c>
      <c r="E13" s="25" t="str">
        <f t="shared" si="0"/>
        <v>GTCO ✓</v>
      </c>
    </row>
    <row r="14" spans="2:12" ht="18" customHeight="1" x14ac:dyDescent="0.2">
      <c r="B14" s="22" t="s">
        <v>61</v>
      </c>
      <c r="C14" s="26">
        <f>Data_Entry!G28</f>
        <v>43.82</v>
      </c>
      <c r="D14" s="27">
        <f>Data_Entry!M28</f>
        <v>25.3</v>
      </c>
      <c r="E14" s="25" t="str">
        <f t="shared" si="0"/>
        <v>GTCO ✓</v>
      </c>
      <c r="I14" s="41" t="s">
        <v>72</v>
      </c>
      <c r="J14" s="41"/>
    </row>
    <row r="15" spans="2:12" ht="18" customHeight="1" x14ac:dyDescent="0.2">
      <c r="B15" s="22" t="s">
        <v>62</v>
      </c>
      <c r="C15" s="26">
        <f>Data_Entry!G29</f>
        <v>27.86</v>
      </c>
      <c r="D15" s="27">
        <f>Data_Entry!M29</f>
        <v>45.2</v>
      </c>
      <c r="E15" s="25" t="str">
        <f>IFERROR(IF(C15&lt;D15,"GTCO ✓",IF(D15&lt;C15,"ZENITH ✓","TIE")),"—")</f>
        <v>GTCO ✓</v>
      </c>
      <c r="I15" s="41"/>
      <c r="J15" s="41"/>
    </row>
    <row r="16" spans="2:12" ht="18" customHeight="1" x14ac:dyDescent="0.2">
      <c r="B16" s="22" t="s">
        <v>30</v>
      </c>
      <c r="C16" s="26">
        <f>Data_Entry!G30</f>
        <v>2.16</v>
      </c>
      <c r="D16" s="27">
        <f>Data_Entry!M30</f>
        <v>3.8</v>
      </c>
      <c r="E16" s="25" t="str">
        <f>IFERROR(IF(C16&lt;D16,"GTCO ✓",IF(D16&lt;C16,"ZENITH ✓","TIE")),"—")</f>
        <v>GTCO ✓</v>
      </c>
    </row>
    <row r="17" spans="2:5" ht="18" customHeight="1" x14ac:dyDescent="0.2">
      <c r="B17" s="22" t="s">
        <v>63</v>
      </c>
      <c r="C17" s="23">
        <f>Data_Entry!G13</f>
        <v>25.43</v>
      </c>
      <c r="D17" s="27">
        <f>Data_Entry!M13</f>
        <v>25.32</v>
      </c>
      <c r="E17" s="25" t="str">
        <f>IFERROR(IF(C17&gt;D17,"GTCO ✓",IF(D17&gt;C17,"ZENITH ✓","TIE")),"—")</f>
        <v>GTCO ✓</v>
      </c>
    </row>
    <row r="18" spans="2:5" ht="18" customHeight="1" x14ac:dyDescent="0.2">
      <c r="B18" s="28" t="s">
        <v>71</v>
      </c>
      <c r="C18" s="29">
        <f>COUNTIF(E7:E17,"GTCO ✓")</f>
        <v>6</v>
      </c>
      <c r="D18" s="30">
        <f>COUNTIF(E7:E17,"ZENITH ✓")</f>
        <v>5</v>
      </c>
      <c r="E18" s="31" t="str">
        <f>IF(C18&gt;D18,"GTCO LEADS",IF(D18&gt;C18,"ZENITH LEADS","TIED"))</f>
        <v>GTCO LEADS</v>
      </c>
    </row>
    <row r="21" spans="2:5" x14ac:dyDescent="0.2">
      <c r="B21" s="2"/>
    </row>
  </sheetData>
  <sheetProtection algorithmName="SHA-512" hashValue="B7Kw3STazdnH4tieLBSVyvJO4hhcIM8B+gWVvXuNgRxfGw5hChtUUGqCd3Hg+zXMWvOZzK+MmIkiHXL35cTXwQ==" saltValue="tKNPBdExSFeLD0Q3IFmsYw==" spinCount="100000" sheet="1" objects="1" scenarios="1"/>
  <mergeCells count="1">
    <mergeCell ref="I14:J15"/>
  </mergeCells>
  <conditionalFormatting sqref="E7:E17">
    <cfRule type="cellIs" dxfId="1" priority="1" operator="equal">
      <formula>"GTCO ✓"</formula>
    </cfRule>
    <cfRule type="cellIs" dxfId="0" priority="2" operator="equal">
      <formula>"ZENITH ✓"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Data_Entry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EmmaPluz</dc:creator>
  <cp:lastModifiedBy>EmmaPluz</cp:lastModifiedBy>
  <dcterms:created xsi:type="dcterms:W3CDTF">2026-10-19T15:19:23Z</dcterms:created>
  <dcterms:modified xsi:type="dcterms:W3CDTF">2026-10-22T09:57:41Z</dcterms:modified>
</cp:coreProperties>
</file>